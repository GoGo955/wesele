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c7ebbd74943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ównanie" sheetId="1" r:id="R18c76512504e4e7d"/>
    <x:sheet xmlns:r="http://schemas.openxmlformats.org/officeDocument/2006/relationships" name="Kalkulator" sheetId="2" r:id="Rea01a9f59bd04c81"/>
    <x:sheet xmlns:r="http://schemas.openxmlformats.org/officeDocument/2006/relationships" name="Cenniki" sheetId="3" r:id="Rade729636710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8F5E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3d1c9c35240f7" /><Relationship Type="http://schemas.openxmlformats.org/officeDocument/2006/relationships/theme" Target="/xl/theme/theme1.xml" Id="R1d9c35c9cfdb432d" /><Relationship Type="http://schemas.openxmlformats.org/officeDocument/2006/relationships/sharedStrings" Target="/xl/sharedStrings.xml" Id="R25a6b272c2044b1e" /><Relationship Type="http://schemas.openxmlformats.org/officeDocument/2006/relationships/worksheet" Target="/xl/worksheets/sheet1.xml" Id="R18c76512504e4e7d" /><Relationship Type="http://schemas.openxmlformats.org/officeDocument/2006/relationships/worksheet" Target="/xl/worksheets/sheet2.xml" Id="Rea01a9f59bd04c81" /><Relationship Type="http://schemas.openxmlformats.org/officeDocument/2006/relationships/worksheet" Target="/xl/worksheets/sheet3.xml" Id="Rade729636710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42" hidden="0" customWidth="1"/>
    <x:col min="5" max="5" width="12" hidden="0" customWidth="1"/>
    <x:col min="6" max="6" width="12" hidden="0" customWidth="1"/>
  </x:cols>
  <x:sheetData>
    <x:row r="1" ht="26" customHeight="1">
      <x:c r="A1" s="10" t="str">
        <x:v>Porównanie ofert weselnych — Boho Pogoria vs Przystanek Południe</x:v>
      </x:c>
      <x:c r="B1" s="10" t="str">
        <x:v>Porównanie ofert weselnych — Boho Pogoria vs Przystanek Południe</x:v>
      </x:c>
      <x:c r="C1" s="10" t="str">
        <x:v>Porównanie ofert weselnych — Boho Pogoria vs Przystanek Południe</x:v>
      </x:c>
      <x:c r="D1" s="10" t="str">
        <x:v>Porównanie ofert weselnych — Boho Pogoria vs Przystanek Południe</x:v>
      </x:c>
      <x:c r="E1" s="10" t="str">
        <x:v>Porównanie ofert weselnych — Boho Pogoria vs Przystanek Południe</x:v>
      </x:c>
      <x:c r="F1" s="10" t="str">
        <x:v>Porównanie ofert weselnych — Boho Pogoria vs Przystanek Południe</x:v>
      </x:c>
    </x:row>
    <x:row r="3" ht="24" customHeight="1">
      <x:c r="A3" s="20" t="str">
        <x:v>Obszar</x:v>
      </x:c>
      <x:c r="B3" s="20" t="str">
        <x:v>Boho Pogoria</x:v>
      </x:c>
      <x:c r="C3" s="20" t="str">
        <x:v>Przystanek Południe</x:v>
      </x:c>
      <x:c r="D3" s="20" t="str">
        <x:v>Co to oznacza</x:v>
      </x:c>
      <x:c r="E3" t="str"/>
      <x:c r="F3" t="str"/>
    </x:row>
    <x:row r="5">
      <x:c r="A5" s="24" t="str">
        <x:v>Lokalizacja</x:v>
      </x:c>
      <x:c r="B5" s="24" t="str">
        <x:v>Dąbrowa Górnicza, Pogoria I</x:v>
      </x:c>
      <x:c r="C5" s="24" t="str">
        <x:v>Mysłowice, Murckowska 1</x:v>
      </x:c>
      <x:c r="D5" s="24" t="str">
        <x:v>Boho bardziej nad wodą; Kleser bardziej śródziemnomorsko i ogrodowo</x:v>
      </x:c>
    </x:row>
    <x:row r="6">
      <x:c r="A6" s="24" t="str">
        <x:v>Maks. gości</x:v>
      </x:c>
      <x:c r="B6" s="24" t="str">
        <x:v>200</x:v>
      </x:c>
      <x:c r="C6" s="24" t="str">
        <x:v>150</x:v>
      </x:c>
      <x:c r="D6" s="24" t="str">
        <x:v>Boho większe przyjęcia</x:v>
      </x:c>
    </x:row>
    <x:row r="7">
      <x:c r="A7" s="24" t="str">
        <x:v>Minimalna liczba pełnopłatnych gości</x:v>
      </x:c>
      <x:c r="B7" s="24" t="str">
        <x:v>50/70/90/70 w zależności od dnia</x:v>
      </x:c>
      <x:c r="C7" s="24" t="str">
        <x:v>Brak wskazanego minimum</x:v>
      </x:c>
      <x:c r="D7" s="24" t="str">
        <x:v>W Boho dzień tygodnia wpływa na koszt</x:v>
      </x:c>
    </x:row>
    <x:row r="8">
      <x:c r="A8" s="24" t="str">
        <x:v>Czas podstawowy</x:v>
      </x:c>
      <x:c r="B8" s="24" t="str">
        <x:v>12 godzin</x:v>
      </x:c>
      <x:c r="C8" s="24" t="str">
        <x:v>5/6/9/12 h zależnie od rozbudowania menu</x:v>
      </x:c>
      <x:c r="D8" s="24" t="str">
        <x:v>W Kleser długość przyjęcia zależy od pakietów</x:v>
      </x:c>
    </x:row>
    <x:row r="9">
      <x:c r="A9" s="24" t="str">
        <x:v>Wynajem sali</x:v>
      </x:c>
      <x:c r="B9" s="24" t="str">
        <x:v>W cenie</x:v>
      </x:c>
      <x:c r="C9" s="24" t="str">
        <x:v>W cenie</x:v>
      </x:c>
      <x:c r="D9" s="24" t="str">
        <x:v>Obie oferty nie doliczają wynajmu sali</x:v>
      </x:c>
    </x:row>
    <x:row r="10">
      <x:c r="A10" s="24" t="str">
        <x:v>Menu bazowe</x:v>
      </x:c>
      <x:c r="B10" s="24" t="str">
        <x:v>450/475/510/570 zł/os</x:v>
      </x:c>
      <x:c r="C10" s="24" t="str">
        <x:v>240/290/330 zł/os albo 350 zł/os na paterach</x:v>
      </x:c>
      <x:c r="D10" s="24" t="str">
        <x:v>Kleser ma szerszą skalę formatów serwisu</x:v>
      </x:c>
    </x:row>
    <x:row r="11">
      <x:c r="A11" s="24" t="str">
        <x:v>Napoje</x:v>
      </x:c>
      <x:c r="B11" s="24" t="str">
        <x:v>95/155 zł/os</x:v>
      </x:c>
      <x:c r="C11" s="24" t="str">
        <x:v>90/125/180 zł/os</x:v>
      </x:c>
      <x:c r="D11" s="24" t="str">
        <x:v>Boho prostsze pakiety, Kleser bardziej rozbudowane</x:v>
      </x:c>
    </x:row>
    <x:row r="12">
      <x:c r="A12" s="24" t="str">
        <x:v>Najważniejsze dodatki</x:v>
      </x:c>
      <x:c r="B12" s="24" t="str">
        <x:v>Ceremonia 3500, łódź 2000, noclegi</x:v>
      </x:c>
      <x:c r="C12" s="24" t="str">
        <x:v>bufety, live cooking, słodki stół, ciepła miska</x:v>
      </x:c>
      <x:c r="D12" s="24" t="str">
        <x:v>Boho mocniejsze w ślubie i noclegach; Kleser w gastronomii i opcjach dodatkowych</x:v>
      </x:c>
    </x:row>
    <x:row r="15" ht="24" customHeight="1">
      <x:c r="A15" s="18" t="str">
        <x:v>Wnioski</x:v>
      </x:c>
      <x:c r="B15" s="18" t="str">
        <x:v>Boho Pogoria</x:v>
      </x:c>
      <x:c r="C15" s="18" t="str">
        <x:v>Przystanek Południe</x:v>
      </x:c>
      <x:c r="D15" s="18" t="str">
        <x:v>Szybka interpretacja</x:v>
      </x:c>
      <x:c r="E15" t="str"/>
      <x:c r="F15" t="str"/>
    </x:row>
    <x:row r="16">
      <x:c r="A16" s="24" t="str">
        <x:v>Dla dużych wesel</x:v>
      </x:c>
      <x:c r="B16" s="24" t="str">
        <x:v>Lepsze, bo ma większą salę i więcej noclegów</x:v>
      </x:c>
      <x:c r="C16" s="24" t="str">
        <x:v>Ograniczone do 150 gości</x:v>
      </x:c>
      <x:c r="D16" s="24" t="str">
        <x:v>Jeśli planujesz bardzo duże wesele, Boho daje większy margines</x:v>
      </x:c>
    </x:row>
    <x:row r="17">
      <x:c r="A17" s="24" t="str">
        <x:v>Dla bardziej 'gotowej' oferty</x:v>
      </x:c>
      <x:c r="B17" s="24" t="str">
        <x:v>Mocne dodatki weselne: ceremonia, łódź, noclegi</x:v>
      </x:c>
      <x:c r="C17" s="24" t="str">
        <x:v>Mocniejsze kulinarnie i elastyczniejsze menu</x:v>
      </x:c>
      <x:c r="D17" s="24" t="str">
        <x:v>Kleser wygra, gdy zależy Ci na rozbudowanej gastronomii</x:v>
      </x:c>
    </x:row>
    <x:row r="18">
      <x:c r="A18" s="24" t="str">
        <x:v>Dla budżetu per osoba</x:v>
      </x:c>
      <x:c r="B18" s="24" t="str">
        <x:v>Wyższe progi cenowe bazowe</x:v>
      </x:c>
      <x:c r="C18" s="24" t="str">
        <x:v>Niższe menu bazowe, ale dużo add-onów</x:v>
      </x:c>
      <x:c r="D18" s="24" t="str">
        <x:v>W Kleser łatwo zbudować ofertę od prostszej do bardzo rozbudowanej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4" hidden="0" customWidth="1"/>
    <x:col min="5" max="5" width="18" hidden="0" customWidth="1"/>
    <x:col min="6" max="6" width="4" hidden="0" customWidth="1"/>
    <x:col min="7" max="7" width="36" hidden="0" customWidth="1"/>
    <x:col min="8" max="8" width="18" hidden="0" customWidth="1"/>
    <x:col min="9" max="9" width="12" hidden="0" customWidth="1"/>
    <x:col min="10" max="10" width="34" hidden="0" customWidth="1"/>
    <x:col min="11" max="11" width="18" hidden="0" customWidth="1"/>
    <x:col min="12" max="12" width="4" hidden="0" customWidth="1"/>
  </x:cols>
  <x:sheetData>
    <x:row r="1" ht="26" customHeight="1">
      <x:c r="A1" s="10" t="str">
        <x:v>Kalkulator scenariuszy — wprowadź dane i porównaj koszty</x:v>
      </x:c>
      <x:c r="B1" s="10" t="str">
        <x:v>Kalkulator scenariuszy — wprowadź dane i porównaj koszty</x:v>
      </x:c>
      <x:c r="C1" s="10" t="str">
        <x:v>Kalkulator scenariuszy — wprowadź dane i porównaj koszty</x:v>
      </x:c>
      <x:c r="D1" s="10" t="str">
        <x:v>Kalkulator scenariuszy — wprowadź dane i porównaj koszty</x:v>
      </x:c>
      <x:c r="E1" s="10" t="str">
        <x:v>Kalkulator scenariuszy — wprowadź dane i porównaj koszty</x:v>
      </x:c>
      <x:c r="F1" s="10" t="str">
        <x:v>Kalkulator scenariuszy — wprowadź dane i porównaj koszty</x:v>
      </x:c>
      <x:c r="G1" s="10" t="str">
        <x:v>Kalkulator scenariuszy — wprowadź dane i porównaj koszty</x:v>
      </x:c>
      <x:c r="H1" s="10" t="str">
        <x:v>Kalkulator scenariuszy — wprowadź dane i porównaj koszty</x:v>
      </x:c>
      <x:c r="I1" s="10" t="str">
        <x:v>Kalkulator scenariuszy — wprowadź dane i porównaj koszty</x:v>
      </x:c>
      <x:c r="J1" s="10" t="str">
        <x:v>Kalkulator scenariuszy — wprowadź dane i porównaj koszty</x:v>
      </x:c>
    </x:row>
    <x:row r="3" ht="24" customHeight="1">
      <x:c r="A3" s="18" t="str">
        <x:v>Boho Pogoria — dane wejściowe</x:v>
      </x:c>
      <x:c r="B3" s="18" t="str"/>
      <x:c r="C3" s="18" t="str"/>
      <x:c r="D3" s="18" t="str">
        <x:v>Boho — wyliczenia</x:v>
      </x:c>
      <x:c r="E3" s="18" t="str"/>
      <x:c r="F3" s="18" t="str"/>
      <x:c r="G3" s="18" t="str">
        <x:v>Przystanek Południe — dane wejściowe</x:v>
      </x:c>
      <x:c r="H3" s="18" t="str"/>
      <x:c r="I3" s="18" t="str"/>
      <x:c r="J3" s="18" t="str">
        <x:v>Kleser — wyliczenia</x:v>
      </x:c>
      <x:c r="K3" s="18" t="str"/>
      <x:c r="L3" s="18" t="str"/>
    </x:row>
    <x:row r="4">
      <x:c r="A4" s="24" t="str">
        <x:v>Liczba gości</x:v>
      </x:c>
      <x:c r="B4" s="24" t="n">
        <x:v>100</x:v>
      </x:c>
      <x:c r="D4" s="24" t="str">
        <x:v>Minimum gości dla dnia</x:v>
      </x:c>
      <x:c r="E4" s="24" t="n">
        <x:f>IF(B5="pn-czw",50,IF(B5="pt",70,IF(B5="sob",90,IF(B5="nd",70,0))))</x:f>
        <x:v>90</x:v>
      </x:c>
      <x:c r="G4" s="24" t="str">
        <x:v>Liczba gości</x:v>
      </x:c>
      <x:c r="H4" s="24" t="n">
        <x:v>100</x:v>
      </x:c>
      <x:c r="J4" s="24" t="str">
        <x:v>Cena menu bazowego</x:v>
      </x:c>
      <x:c r="K4" s="24" t="n">
        <x:f>IF(H5="talerze",IF(H6=1,240,IF(H6=2,290,IF(H6=3,330,0))),IF(H5="patera",350,0))</x:f>
        <x:v>290</x:v>
      </x:c>
    </x:row>
    <x:row r="5">
      <x:c r="A5" s="24" t="str">
        <x:v>Dzień tygodnia (pn-czw / pt / sob / nd)</x:v>
      </x:c>
      <x:c r="B5" s="24" t="str">
        <x:v>sob</x:v>
      </x:c>
      <x:c r="D5" s="24" t="str">
        <x:v>Dopłata za brak gości</x:v>
      </x:c>
      <x:c r="E5" s="24" t="n">
        <x:f>IF(B4&lt;E4,(E4-B4)*250,0)</x:f>
        <x:v>0</x:v>
      </x:c>
      <x:c r="G5" s="24" t="str">
        <x:v>Format obiadu (talerze / patera)</x:v>
      </x:c>
      <x:c r="H5" s="24" t="str">
        <x:v>talerze</x:v>
      </x:c>
      <x:c r="J5" s="24" t="str">
        <x:v>Cena napojów</x:v>
      </x:c>
      <x:c r="K5" s="24" t="n">
        <x:f>IF(H7=1,90,IF(H7=2,125,IF(H7=3,180,0)))</x:f>
        <x:v>125</x:v>
      </x:c>
    </x:row>
    <x:row r="6">
      <x:c r="A6" s="24" t="str">
        <x:v>Wariant menu (1-4)</x:v>
      </x:c>
      <x:c r="B6" s="24" t="n">
        <x:v>2</x:v>
      </x:c>
      <x:c r="D6" s="24" t="str">
        <x:v>Cena menu</x:v>
      </x:c>
      <x:c r="E6" s="24" t="n">
        <x:f>IF(B6=1,450,IF(B6=2,475,IF(B6=3,510,IF(B6=4,570,0))))</x:f>
        <x:v>475</x:v>
      </x:c>
      <x:c r="G6" s="24" t="str">
        <x:v>Pakiet menu (1-3)</x:v>
      </x:c>
      <x:c r="H6" s="24" t="n">
        <x:v>2</x:v>
      </x:c>
      <x:c r="J6" s="24" t="str">
        <x:v>Korkowe</x:v>
      </x:c>
      <x:c r="K6" s="24" t="n">
        <x:f>H8*40</x:f>
        <x:v>0</x:v>
      </x:c>
    </x:row>
    <x:row r="7">
      <x:c r="A7" s="24" t="str">
        <x:v>Wariant napojów (1-2)</x:v>
      </x:c>
      <x:c r="B7" s="24" t="n">
        <x:v>2</x:v>
      </x:c>
      <x:c r="D7" s="24" t="str">
        <x:v>Cena napojów</x:v>
      </x:c>
      <x:c r="E7" s="24" t="n">
        <x:f>IF(B7=1,95,155)</x:f>
        <x:v>155</x:v>
      </x:c>
      <x:c r="G7" s="24" t="str">
        <x:v>Pakiet napojów (1-3)</x:v>
      </x:c>
      <x:c r="H7" s="24" t="n">
        <x:v>2</x:v>
      </x:c>
      <x:c r="J7" s="24" t="str">
        <x:v>Bufet na zimno</x:v>
      </x:c>
      <x:c r="K7" s="24" t="n">
        <x:f>H4*IF(H9=1,90,0)</x:f>
        <x:v>0</x:v>
      </x:c>
    </x:row>
    <x:row r="8">
      <x:c r="A8" s="24" t="str">
        <x:v>Bufet dodatkowy (Brak / Śródziemnomorski / Street Food / Swojski)</x:v>
      </x:c>
      <x:c r="B8" s="24" t="str">
        <x:v>Brak</x:v>
      </x:c>
      <x:c r="D8" s="24" t="str">
        <x:v>Cena bufetu</x:v>
      </x:c>
      <x:c r="E8" s="24" t="n">
        <x:f>IF(B8="Śródziemnomorski",65,IF(B8="Street Food",60,IF(B8="Swojski",55,0)))</x:f>
        <x:v>0</x:v>
      </x:c>
      <x:c r="G8" s="24" t="str">
        <x:v>Korkowe — liczba gości z własnym alkoholem</x:v>
      </x:c>
      <x:c r="H8" s="24" t="n">
        <x:v>0</x:v>
      </x:c>
      <x:c r="J8" s="24" t="str">
        <x:v>Bufet na ciepło</x:v>
      </x:c>
      <x:c r="K8" s="24" t="n">
        <x:f>H4*IF(H10=1,80,0)</x:f>
        <x:v>0</x:v>
      </x:c>
    </x:row>
    <x:row r="9">
      <x:c r="A9" s="24" t="str">
        <x:v>Ceremonia w plenerze (0/1)</x:v>
      </x:c>
      <x:c r="B9" s="24" t="n">
        <x:v>0</x:v>
      </x:c>
      <x:c r="D9" s="24" t="str">
        <x:v>Cena ceremonii</x:v>
      </x:c>
      <x:c r="E9" s="24" t="n">
        <x:f>IF(B9=1,3500,0)</x:f>
        <x:v>0</x:v>
      </x:c>
      <x:c r="G9" s="24" t="str">
        <x:v>Bufet na zimno (0/1)</x:v>
      </x:c>
      <x:c r="H9" s="24" t="n">
        <x:v>0</x:v>
      </x:c>
      <x:c r="J9" s="24" t="str">
        <x:v>Live cooking</x:v>
      </x:c>
      <x:c r="K9" s="24" t="n">
        <x:f>H4*IF(H11=1,70,0)</x:f>
        <x:v>0</x:v>
      </x:c>
    </x:row>
    <x:row r="10">
      <x:c r="A10" s="24" t="str">
        <x:v>Sesja na łodzi (0/1)</x:v>
      </x:c>
      <x:c r="B10" s="24" t="n">
        <x:v>0</x:v>
      </x:c>
      <x:c r="D10" s="24" t="str">
        <x:v>Cena łodzi / sesji</x:v>
      </x:c>
      <x:c r="E10" s="24" t="n">
        <x:f>B10*2000+B11*2000</x:f>
        <x:v>0</x:v>
      </x:c>
      <x:c r="G10" s="24" t="str">
        <x:v>Bufet na ciepło (0/1)</x:v>
      </x:c>
      <x:c r="H10" s="24" t="n">
        <x:v>0</x:v>
      </x:c>
      <x:c r="J10" s="24" t="str">
        <x:v>Pizza w ogrodzie</x:v>
      </x:c>
      <x:c r="K10" s="24" t="n">
        <x:f>H4*IF(H12=1,60,0)</x:f>
        <x:v>0</x:v>
      </x:c>
    </x:row>
    <x:row r="11">
      <x:c r="A11" s="24" t="str">
        <x:v>Przypłynięcie do ślubu (0/1)</x:v>
      </x:c>
      <x:c r="B11" s="24" t="n">
        <x:v>0</x:v>
      </x:c>
      <x:c r="D11" s="24" t="str">
        <x:v>Cena noclegów</x:v>
      </x:c>
      <x:c r="E11" s="24" t="n">
        <x:f>B13*600+B14*1200+B15*80</x:f>
        <x:v>0</x:v>
      </x:c>
      <x:c r="G11" s="24" t="str">
        <x:v>Live cooking (0/1)</x:v>
      </x:c>
      <x:c r="H11" s="24" t="n">
        <x:v>0</x:v>
      </x:c>
      <x:c r="J11" s="24" t="str">
        <x:v>Burgery w ogrodzie</x:v>
      </x:c>
      <x:c r="K11" s="24" t="n">
        <x:f>H4*IF(H13=1,65,0)</x:f>
        <x:v>0</x:v>
      </x:c>
    </x:row>
    <x:row r="12">
      <x:c r="A12" s="24" t="str">
        <x:v>Dodatkowe rozpoczęte godziny</x:v>
      </x:c>
      <x:c r="B12" s="24" t="n">
        <x:v>0</x:v>
      </x:c>
      <x:c r="D12" s="24" t="str">
        <x:v>Cena dodatkowych godzin</x:v>
      </x:c>
      <x:c r="E12" s="24" t="n">
        <x:f>B12*1500</x:f>
        <x:v>0</x:v>
      </x:c>
      <x:c r="G12" s="24" t="str">
        <x:v>W ogrodzie — pizza (0/1)</x:v>
      </x:c>
      <x:c r="H12" s="24" t="n">
        <x:v>0</x:v>
      </x:c>
      <x:c r="J12" s="24" t="str">
        <x:v>Bliski Wschód w ogrodzie</x:v>
      </x:c>
      <x:c r="K12" s="24" t="n">
        <x:f>H4*IF(H14=1,70,0)</x:f>
        <x:v>0</x:v>
      </x:c>
    </x:row>
    <x:row r="13">
      <x:c r="A13" s="24" t="str">
        <x:v>Apartamenty 2-os. (szt.)</x:v>
      </x:c>
      <x:c r="B13" s="24" t="n">
        <x:v>0</x:v>
      </x:c>
      <x:c r="D13" s="24" t="str">
        <x:v>Suma Boho</x:v>
      </x:c>
      <x:c r="E13" s="28" t="n">
        <x:f>B4*E6+B4*E7+B4*E8+E9+E10+E11+E12+E5</x:f>
        <x:v>63000</x:v>
      </x:c>
      <x:c r="G13" s="24" t="str">
        <x:v>W ogrodzie — burgery (0/1)</x:v>
      </x:c>
      <x:c r="H13" s="24" t="n">
        <x:v>0</x:v>
      </x:c>
      <x:c r="J13" s="24" t="str">
        <x:v>Kolacja serwowana</x:v>
      </x:c>
      <x:c r="K13" s="24" t="n">
        <x:f>H4*IF(H15=1,55,IF(H15=2,65,IF(H15=3,75,0)))</x:f>
        <x:v>0</x:v>
      </x:c>
    </x:row>
    <x:row r="14">
      <x:c r="A14" s="24" t="str">
        <x:v>Domki 6-os. (szt.)</x:v>
      </x:c>
      <x:c r="B14" s="24" t="n">
        <x:v>0</x:v>
      </x:c>
      <x:c r="D14" s="24" t="str">
        <x:v>Koszt na 1 osobę</x:v>
      </x:c>
      <x:c r="E14" s="28" t="n">
        <x:f>IF(B4=0,0,E13/B4)</x:f>
        <x:v>630</x:v>
      </x:c>
      <x:c r="G14" s="24" t="str">
        <x:v>W ogrodzie — Bliski Wschód (0/1)</x:v>
      </x:c>
      <x:c r="H14" s="24" t="n">
        <x:v>0</x:v>
      </x:c>
      <x:c r="J14" s="24" t="str">
        <x:v>Ciepła miska</x:v>
      </x:c>
      <x:c r="K14" s="24" t="n">
        <x:f>H4*IF(H16=1,50,IF(H16=2,55,IF(H16=3,60,0)))</x:f>
        <x:v>0</x:v>
      </x:c>
    </x:row>
    <x:row r="15">
      <x:c r="A15" s="24" t="str">
        <x:v>Śniadania (szt.)</x:v>
      </x:c>
      <x:c r="B15" s="24" t="n">
        <x:v>0</x:v>
      </x:c>
      <x:c r="G15" s="24" t="str">
        <x:v>Kolacja serwowana (0/1/2/3)</x:v>
      </x:c>
      <x:c r="H15" s="24" t="n">
        <x:v>0</x:v>
      </x:c>
      <x:c r="J15" s="24" t="str">
        <x:v>Słodki stół</x:v>
      </x:c>
      <x:c r="K15" s="24" t="n">
        <x:f>H4*IF(H17=3,50,IF(H17=5,65,0))</x:f>
        <x:v>0</x:v>
      </x:c>
    </x:row>
    <x:row r="16">
      <x:c r="G16" s="24" t="str">
        <x:v>Ciepła miska (0/1/2/3)</x:v>
      </x:c>
      <x:c r="H16" s="24" t="n">
        <x:v>0</x:v>
      </x:c>
      <x:c r="J16" s="24" t="str">
        <x:v>Serwis tortu / słodkiego stołu</x:v>
      </x:c>
      <x:c r="K16" s="24" t="n">
        <x:f>H4*IF(H18=1,10,IF(H18=2,15,0))</x:f>
        <x:v>0</x:v>
      </x:c>
    </x:row>
    <x:row r="17">
      <x:c r="G17" s="24" t="str">
        <x:v>Słodki stół (0 / 3 / 5)</x:v>
      </x:c>
      <x:c r="H17" s="24" t="n">
        <x:v>0</x:v>
      </x:c>
      <x:c r="J17" s="24" t="str">
        <x:v>Suma Kleser</x:v>
      </x:c>
      <x:c r="K17" s="28" t="n">
        <x:f>H4*K4+H4*K5+K6+K7+K8+K9+K10+K11+K12+K13+K14+K15+K16</x:f>
        <x:v>41500</x:v>
      </x:c>
    </x:row>
    <x:row r="18" ht="24" customHeight="1">
      <x:c r="A18" s="18" t="str">
        <x:v>Porównanie wyników</x:v>
      </x:c>
      <x:c r="B18" s="18" t="str"/>
      <x:c r="C18" s="18" t="str"/>
      <x:c r="D18" s="18" t="str"/>
      <x:c r="E18" s="18" t="str"/>
      <x:c r="F18" s="18" t="str"/>
      <x:c r="G18" s="24" t="str">
        <x:v>Serwis tortu / słodkiego stołu (0 / 1 / 2)</x:v>
      </x:c>
      <x:c r="H18" s="24" t="n">
        <x:v>0</x:v>
      </x:c>
      <x:c r="J18" s="24" t="str">
        <x:v>Koszt na 1 osobę</x:v>
      </x:c>
      <x:c r="K18" s="28" t="n">
        <x:f>IF(H4=0,0,K17/H4)</x:f>
        <x:v>415</x:v>
      </x:c>
    </x:row>
    <x:row r="19">
      <x:c r="A19" t="str">
        <x:v>Różnica całkowita (Kleser - Boho)</x:v>
      </x:c>
      <x:c r="B19"/>
      <x:c r="C19" s="32" t="n">
        <x:f>K17-E13</x:f>
        <x:v>-21500</x:v>
      </x:c>
      <x:c r="G19" s="24" t="str">
        <x:v>Liczba ciepłych kolacji (0-3)</x:v>
      </x:c>
      <x:c r="H19" s="24" t="n">
        <x:v>1</x:v>
      </x:c>
      <x:c r="J19" s="24" t="str">
        <x:v>Czas sugerowany wg menu</x:v>
      </x:c>
      <x:c r="K19" s="24" t="n">
        <x:f>IF(H19=3,12,IF(H19=2,9,IF(H19=1,6,5)))</x:f>
        <x:v>6</x:v>
      </x:c>
    </x:row>
    <x:row r="20">
      <x:c r="A20" t="str">
        <x:v>Różnica na 1 osobę</x:v>
      </x:c>
      <x:c r="B20"/>
      <x:c r="C20" s="32" t="n">
        <x:f>K18-E14</x:f>
        <x:v>-215</x:v>
      </x:c>
    </x:row>
    <x:row r="21">
      <x:c r="A21" t="str">
        <x:v>Kto wychodzi taniej w tym scenariuszu</x:v>
      </x:c>
      <x:c r="B21"/>
      <x:c r="C21" s="32" t="str">
        <x:f>IF(E13&lt;K17,"Boho Pogoria",IF(E13&gt;K17,"Przystanek Południe","Remis"))</x:f>
        <x:v>Przystanek Południe</x:v>
      </x:c>
    </x:row>
    <x:row r="23" ht="24" customHeight="1">
      <x:c r="A23" s="18" t="str">
        <x:v>Uwagi</x:v>
      </x:c>
      <x:c r="B23" s="18" t="str"/>
      <x:c r="C23" s="18" t="str"/>
      <x:c r="D23" s="18" t="str"/>
      <x:c r="E23" s="18" t="str"/>
      <x:c r="F23" s="18" t="str"/>
    </x:row>
    <x:row r="24">
      <x:c r="A24" s="22" t="str">
        <x:v>Boho ma wbudowany limit dniowy minimum gości; Kleser nie podaje minimum w ofercie.</x:v>
      </x:c>
      <x:c r="B24" s="22"/>
      <x:c r="C24" s="22"/>
      <x:c r="D24" s="22"/>
      <x:c r="E24" s="22"/>
      <x:c r="F24" s="22"/>
    </x:row>
    <x:row r="25">
      <x:c r="A25" s="22" t="str">
        <x:v>W Boho czas podstawowy to 12 godzin; w Kleser długość przyjęcia zależy od rozbudowania menu.</x:v>
      </x:c>
      <x:c r="B25" s="22"/>
      <x:c r="C25" s="22"/>
      <x:c r="D25" s="22"/>
      <x:c r="E25" s="22"/>
      <x:c r="F25" s="22"/>
    </x:row>
    <x:row r="26">
      <x:c r="A26" s="22" t="str">
        <x:v>W Kleser pakiety dodatkowe są bardzo rozbudowane; w tym arkuszu można je włączać pojedynczo.</x:v>
      </x:c>
      <x:c r="B26" s="22"/>
      <x:c r="C26" s="22"/>
      <x:c r="D26" s="22"/>
      <x:c r="E26" s="22"/>
      <x:c r="F26" s="22"/>
    </x:row>
  </x:sheetData>
  <x:mergeCells>
    <x:mergeCell ref="A1:J1"/>
    <x:mergeCell ref="A24:F24"/>
    <x:mergeCell ref="A25:F25"/>
    <x:mergeCell ref="A26:F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38" hidden="0" customWidth="1"/>
    <x:col min="6" max="6" width="32" hidden="0" customWidth="1"/>
    <x:col min="7" max="7" width="18" hidden="0" customWidth="1"/>
    <x:col min="8" max="8" width="14" hidden="0" customWidth="1"/>
    <x:col min="9" max="9" width="38" hidden="0" customWidth="1"/>
  </x:cols>
  <x:sheetData>
    <x:row r="1" ht="26" customHeight="1">
      <x:c r="A1" s="10" t="str">
        <x:v>Cenniki i najważniejsze warunki z obu ofert</x:v>
      </x:c>
      <x:c r="B1" s="10" t="str">
        <x:v>Cenniki i najważniejsze warunki z obu ofert</x:v>
      </x:c>
      <x:c r="C1" s="10" t="str">
        <x:v>Cenniki i najważniejsze warunki z obu ofert</x:v>
      </x:c>
      <x:c r="D1" s="10" t="str">
        <x:v>Cenniki i najważniejsze warunki z obu ofert</x:v>
      </x:c>
      <x:c r="E1" s="10" t="str">
        <x:v>Cenniki i najważniejsze warunki z obu ofert</x:v>
      </x:c>
      <x:c r="F1" s="10" t="str">
        <x:v>Cenniki i najważniejsze warunki z obu ofert</x:v>
      </x:c>
      <x:c r="G1" s="10" t="str">
        <x:v>Cenniki i najważniejsze warunki z obu ofert</x:v>
      </x:c>
      <x:c r="H1" s="10" t="str">
        <x:v>Cenniki i najważniejsze warunki z obu ofert</x:v>
      </x:c>
    </x:row>
    <x:row r="3" ht="24" customHeight="1">
      <x:c r="A3" s="18" t="str">
        <x:v>Boho Pogoria</x:v>
      </x:c>
      <x:c r="B3" s="18" t="str">
        <x:v>Pozycja</x:v>
      </x:c>
      <x:c r="C3" s="18" t="str">
        <x:v>Cena</x:v>
      </x:c>
      <x:c r="D3" s="18" t="str">
        <x:v>Uwagi</x:v>
      </x:c>
      <x:c r="F3" s="18" t="str">
        <x:v>Przystanek Południe</x:v>
      </x:c>
      <x:c r="G3" s="18" t="str">
        <x:v>Pozycja</x:v>
      </x:c>
      <x:c r="H3" s="18" t="str">
        <x:v>Cena</x:v>
      </x:c>
      <x:c r="I3" s="18" t="str">
        <x:v>Uwagi</x:v>
      </x:c>
    </x:row>
    <x:row r="4">
      <x:c r="A4" t="str">
        <x:v>Menu I</x:v>
      </x:c>
      <x:c r="B4" t="str">
        <x:v>450 zł/os</x:v>
      </x:c>
      <x:c r="C4" t="str">
        <x:v>450</x:v>
      </x:c>
      <x:c r="D4" t="str">
        <x:v>1 przystawka, 1 zupa, 2 porcje dania głównego</x:v>
      </x:c>
      <x:c r="F4" t="str">
        <x:v>Obiad na talerzach — pakiet 1</x:v>
      </x:c>
      <x:c r="G4" t="str">
        <x:v>240 zł/os</x:v>
      </x:c>
      <x:c r="H4" t="str">
        <x:v>240</x:v>
      </x:c>
      <x:c r="I4" t="str"/>
    </x:row>
    <x:row r="5">
      <x:c r="A5" t="str">
        <x:v>Menu II</x:v>
      </x:c>
      <x:c r="B5" t="str">
        <x:v>475 zł/os</x:v>
      </x:c>
      <x:c r="C5" t="str">
        <x:v>475</x:v>
      </x:c>
      <x:c r="D5" t="str">
        <x:v>m.in. łosoś w przystawce</x:v>
      </x:c>
      <x:c r="F5" t="str">
        <x:v>Obiad na talerzach — pakiet 2</x:v>
      </x:c>
      <x:c r="G5" t="str">
        <x:v>290 zł/os</x:v>
      </x:c>
      <x:c r="H5" t="str">
        <x:v>290</x:v>
      </x:c>
      <x:c r="I5" t="str"/>
    </x:row>
    <x:row r="6">
      <x:c r="A6" t="str">
        <x:v>Menu III</x:v>
      </x:c>
      <x:c r="B6" t="str">
        <x:v>510 zł/os</x:v>
      </x:c>
      <x:c r="C6" t="str">
        <x:v>510</x:v>
      </x:c>
      <x:c r="D6" t="str">
        <x:v>szerszy wybór dań głównych i deserów</x:v>
      </x:c>
      <x:c r="F6" t="str">
        <x:v>Obiad na talerzach — pakiet 3</x:v>
      </x:c>
      <x:c r="G6" t="str">
        <x:v>330 zł/os</x:v>
      </x:c>
      <x:c r="H6" t="str">
        <x:v>330</x:v>
      </x:c>
      <x:c r="I6" t="str"/>
    </x:row>
    <x:row r="7">
      <x:c r="A7" t="str">
        <x:v>Menu IV serwowane</x:v>
      </x:c>
      <x:c r="B7" t="str">
        <x:v>570 zł/os</x:v>
      </x:c>
      <x:c r="C7" t="str">
        <x:v>570</x:v>
      </x:c>
      <x:c r="D7" t="str">
        <x:v>jedna pozycja dla wszystkich gości</x:v>
      </x:c>
      <x:c r="F7" t="str">
        <x:v>Obiad na paterach — pakiet 1</x:v>
      </x:c>
      <x:c r="G7" t="str">
        <x:v>350 zł/os</x:v>
      </x:c>
      <x:c r="H7" t="str">
        <x:v>350</x:v>
      </x:c>
      <x:c r="I7" t="str">
        <x:v>1,5 porcji mięsa na osobę</x:v>
      </x:c>
    </x:row>
    <x:row r="8">
      <x:c r="A8" t="str">
        <x:v>Napoje I</x:v>
      </x:c>
      <x:c r="B8" t="str">
        <x:v>95 zł/os</x:v>
      </x:c>
      <x:c r="C8" t="str">
        <x:v>95</x:v>
      </x:c>
      <x:c r="D8" t="str">
        <x:v>bez alkoholu</x:v>
      </x:c>
      <x:c r="F8" t="str">
        <x:v>Napoje 1</x:v>
      </x:c>
      <x:c r="G8" t="str">
        <x:v>90 zł/os</x:v>
      </x:c>
      <x:c r="H8" t="str">
        <x:v>90</x:v>
      </x:c>
      <x:c r="I8" t="str">
        <x:v>bez alkoholu</x:v>
      </x:c>
    </x:row>
    <x:row r="9">
      <x:c r="A9" t="str">
        <x:v>Napoje II</x:v>
      </x:c>
      <x:c r="B9" t="str">
        <x:v>155 zł/os</x:v>
      </x:c>
      <x:c r="C9" t="str">
        <x:v>155</x:v>
      </x:c>
      <x:c r="D9" t="str">
        <x:v>z piwem kraftowym, winem i wódką</x:v>
      </x:c>
      <x:c r="F9" t="str">
        <x:v>Napoje 2</x:v>
      </x:c>
      <x:c r="G9" t="str">
        <x:v>125 zł/os</x:v>
      </x:c>
      <x:c r="H9" t="str">
        <x:v>125</x:v>
      </x:c>
      <x:c r="I9" t="str">
        <x:v>z winem</x:v>
      </x:c>
    </x:row>
    <x:row r="10">
      <x:c r="A10" t="str">
        <x:v>Ceremonia w plenerze</x:v>
      </x:c>
      <x:c r="B10" t="str">
        <x:v>3500 zł</x:v>
      </x:c>
      <x:c r="C10" t="str">
        <x:v>3500</x:v>
      </x:c>
      <x:c r="D10" t="str">
        <x:v>podest, krzesła, stół dla urzędnika</x:v>
      </x:c>
      <x:c r="F10" t="str">
        <x:v>Napoje 3</x:v>
      </x:c>
      <x:c r="G10" t="str">
        <x:v>180 zł/os</x:v>
      </x:c>
      <x:c r="H10" t="str">
        <x:v>180</x:v>
      </x:c>
      <x:c r="I10" t="str">
        <x:v>z piwem i wódką</x:v>
      </x:c>
    </x:row>
    <x:row r="11">
      <x:c r="A11" t="str">
        <x:v>Łódź / sesja</x:v>
      </x:c>
      <x:c r="B11" t="str">
        <x:v>2000 zł</x:v>
      </x:c>
      <x:c r="C11" t="str">
        <x:v>2000</x:v>
      </x:c>
      <x:c r="D11" t="str">
        <x:v>każda usługa osobno</x:v>
      </x:c>
      <x:c r="F11" t="str">
        <x:v>Korkowe</x:v>
      </x:c>
      <x:c r="G11" t="str">
        <x:v>40 zł/os</x:v>
      </x:c>
      <x:c r="H11" t="str">
        <x:v>40</x:v>
      </x:c>
      <x:c r="I11" t="str">
        <x:v>za własny alkohol</x:v>
      </x:c>
    </x:row>
    <x:row r="12">
      <x:c r="A12" t="str">
        <x:v>Dopłata za brak gości</x:v>
      </x:c>
      <x:c r="B12" t="str">
        <x:v>250 zł/os</x:v>
      </x:c>
      <x:c r="C12" t="str">
        <x:v>250</x:v>
      </x:c>
      <x:c r="D12" t="str">
        <x:v>poniżej minimum dla danego dnia</x:v>
      </x:c>
      <x:c r="F12" t="str">
        <x:v>Bufet na zimno</x:v>
      </x:c>
      <x:c r="G12" t="str">
        <x:v>90 zł/os</x:v>
      </x:c>
      <x:c r="H12" t="str">
        <x:v>90</x:v>
      </x:c>
      <x:c r="I12" t="str"/>
    </x:row>
    <x:row r="13">
      <x:c r="A13" t="str">
        <x:v>Wynajem sali</x:v>
      </x:c>
      <x:c r="B13" t="str">
        <x:v>0 zł</x:v>
      </x:c>
      <x:c r="C13" t="str">
        <x:v>0</x:v>
      </x:c>
      <x:c r="D13" t="str">
        <x:v>w cenie</x:v>
      </x:c>
      <x:c r="F13" t="str">
        <x:v>Ciepła kolacja</x:v>
      </x:c>
      <x:c r="G13" t="str">
        <x:v>80 zł/os</x:v>
      </x:c>
      <x:c r="H13" t="str">
        <x:v>80</x:v>
      </x:c>
      <x:c r="I13" t="str">
        <x:v>Meksyk</x:v>
      </x:c>
    </x:row>
    <x:row r="14">
      <x:c r="F14" t="str">
        <x:v>Live cooking</x:v>
      </x:c>
      <x:c r="G14" t="str">
        <x:v>70 zł/os</x:v>
      </x:c>
      <x:c r="H14" t="str">
        <x:v>70</x:v>
      </x:c>
      <x:c r="I14" t="str">
        <x:v>pasty lub paella</x:v>
      </x:c>
    </x:row>
    <x:row r="15">
      <x:c r="F15" t="str">
        <x:v>W ogrodzie: pizza</x:v>
      </x:c>
      <x:c r="G15" t="str">
        <x:v>60 zł/os</x:v>
      </x:c>
      <x:c r="H15" t="str">
        <x:v>60</x:v>
      </x:c>
      <x:c r="I15" t="str">
        <x:v>neapolitańska</x:v>
      </x:c>
    </x:row>
    <x:row r="16">
      <x:c r="F16" t="str">
        <x:v>W ogrodzie: burgery</x:v>
      </x:c>
      <x:c r="G16" t="str">
        <x:v>65 zł/os</x:v>
      </x:c>
      <x:c r="H16" t="str">
        <x:v>65</x:v>
      </x:c>
      <x:c r="I16" t="str"/>
    </x:row>
    <x:row r="17" ht="24" customHeight="1">
      <x:c r="A17" s="18" t="str">
        <x:v>Warto pamiętać</x:v>
      </x:c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</x:row>
    <x:row r="18">
      <x:c r="A18" s="22" t="str">
        <x:v>Boho działa bardziej jak kompleks weselny: sala + noclegi + ceremonia + łódź.</x:v>
      </x:c>
      <x:c r="B18" s="22"/>
      <x:c r="C18" s="22"/>
      <x:c r="D18" s="22"/>
      <x:c r="E18" s="22"/>
      <x:c r="F18" s="22" t="str">
        <x:v>Kolacja serwowana</x:v>
      </x:c>
      <x:c r="G18" s="22" t="str">
        <x:v>55/65/75 zł/os</x:v>
      </x:c>
      <x:c r="H18" s="22" t="str">
        <x:v>55/65/75</x:v>
      </x:c>
      <x:c r="I18" s="22" t="str">
        <x:v>3 warianty</x:v>
      </x:c>
    </x:row>
    <x:row r="19">
      <x:c r="A19" s="22" t="str">
        <x:v>Kleser jest bardziej kulinarny i modułowy: bazowy pakiet + liczne dodatki gastronomiczne.</x:v>
      </x:c>
      <x:c r="B19" s="22"/>
      <x:c r="C19" s="22"/>
      <x:c r="D19" s="22"/>
      <x:c r="E19" s="22"/>
      <x:c r="F19" s="22" t="str">
        <x:v>Ciepła miska</x:v>
      </x:c>
      <x:c r="G19" s="22" t="str">
        <x:v>50/55/60 zł/os</x:v>
      </x:c>
      <x:c r="H19" s="22" t="str">
        <x:v>50/55/60</x:v>
      </x:c>
      <x:c r="I19" s="22" t="str">
        <x:v>po północy</x:v>
      </x:c>
    </x:row>
    <x:row r="20">
      <x:c r="A20" s="22" t="str">
        <x:v>W Kleser czas przyjęcia zależy od rozbudowania menu, a w Boho jest stałe 12 godzin.</x:v>
      </x:c>
      <x:c r="B20" s="22"/>
      <x:c r="C20" s="22"/>
      <x:c r="D20" s="22"/>
      <x:c r="E20" s="22"/>
      <x:c r="F20" s="22" t="str">
        <x:v>Słodki stół 3/5 szt.</x:v>
      </x:c>
      <x:c r="G20" s="22" t="str">
        <x:v>50/65 zł/os</x:v>
      </x:c>
      <x:c r="H20" s="22" t="str">
        <x:v>50/65</x:v>
      </x:c>
      <x:c r="I20" s="22" t="str">
        <x:v>słodkości własnej pracowni</x:v>
      </x:c>
    </x:row>
    <x:row r="21" ht="28" customHeight="1">
      <x:c r="F21" s="22" t="str">
        <x:v>Serwis tortu / słodkiego stołu</x:v>
      </x:c>
      <x:c r="G21" s="22" t="str">
        <x:v>10/15 zł/os</x:v>
      </x:c>
      <x:c r="H21" s="22" t="str">
        <x:v>10/15</x:v>
      </x:c>
      <x:c r="I21" s="22" t="str">
        <x:v>gdy poza rekomendowanymi</x:v>
      </x:c>
    </x:row>
  </x:sheetData>
  <x:mergeCells>
    <x:mergeCell ref="A1:H1"/>
    <x:mergeCell ref="A18:I18"/>
    <x:mergeCell ref="A19:I19"/>
    <x:mergeCell ref="A20:I20"/>
  </x:mergeCells>
  <x:pageMargins left="0.7" right="0.7" top="0.75" bottom="0.75" header="0.3" footer="0.3"/>
</x:worksheet>
</file>